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tgrun\towerOfBabel\"/>
    </mc:Choice>
  </mc:AlternateContent>
  <xr:revisionPtr revIDLastSave="0" documentId="13_ncr:1_{B5EB2608-E8B2-469F-9065-824EE239DE3D}" xr6:coauthVersionLast="47" xr6:coauthVersionMax="47" xr10:uidLastSave="{00000000-0000-0000-0000-000000000000}"/>
  <bookViews>
    <workbookView xWindow="-108" yWindow="-108" windowWidth="23256" windowHeight="13176" xr2:uid="{64349793-F120-4984-A74A-BEEC548CCA09}"/>
  </bookViews>
  <sheets>
    <sheet name="Package Table and Charts" sheetId="1" r:id="rId1"/>
    <sheet name="Charts Backend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2" l="1"/>
  <c r="B8" i="2" s="1"/>
  <c r="B5" i="2"/>
  <c r="B6" i="2" s="1"/>
  <c r="B3" i="2"/>
  <c r="B2" i="2" s="1"/>
  <c r="D13" i="1" a="1"/>
  <c r="D14" i="1" a="1"/>
  <c r="D15" i="1" a="1"/>
  <c r="D16" i="1" a="1"/>
  <c r="D12" i="1" a="1"/>
  <c r="D11" i="1" a="1"/>
  <c r="D10" i="1" a="1"/>
  <c r="D9" i="1" a="1"/>
  <c r="D7" i="1" a="1"/>
  <c r="D49" i="1" a="1"/>
  <c r="D50" i="1" a="1"/>
  <c r="D51" i="1" a="1"/>
  <c r="D52" i="1" a="1"/>
  <c r="D48" i="1" a="1"/>
  <c r="D47" i="1" a="1"/>
  <c r="D44" i="1" a="1"/>
  <c r="D45" i="1" a="1"/>
  <c r="D39" i="1" a="1"/>
  <c r="D40" i="1" a="1"/>
  <c r="D41" i="1" a="1"/>
  <c r="D42" i="1" a="1"/>
  <c r="D35" i="1" a="1"/>
  <c r="D36" i="1" a="1"/>
  <c r="D37" i="1" a="1"/>
  <c r="D24" i="1" a="1"/>
  <c r="D25" i="1" a="1"/>
  <c r="D26" i="1" a="1"/>
  <c r="D28" i="1" a="1"/>
  <c r="D29" i="1" a="1"/>
  <c r="D30" i="1" a="1"/>
  <c r="D31" i="1" a="1"/>
  <c r="D32" i="1" a="1"/>
  <c r="D33" i="1" a="1"/>
  <c r="D4" i="1" a="1"/>
  <c r="D23" i="1" a="1"/>
  <c r="D5" i="1" a="1"/>
  <c r="D6" i="1" a="1"/>
  <c r="D8" i="1" a="1"/>
  <c r="D27" i="1" a="1"/>
  <c r="D17" i="1" a="1"/>
  <c r="D34" i="1" a="1"/>
  <c r="D18" i="1" a="1"/>
  <c r="D38" i="1" a="1"/>
  <c r="D19" i="1" a="1"/>
  <c r="D46" i="1" a="1"/>
  <c r="D20" i="1" a="1"/>
  <c r="D53" i="1" a="1"/>
  <c r="D21" i="1" a="1"/>
  <c r="D3" i="1" a="1"/>
  <c r="D22" i="1" a="1"/>
  <c r="D2" i="1" a="1"/>
  <c r="D16" i="1" l="1"/>
  <c r="D15" i="1"/>
  <c r="D14" i="1"/>
  <c r="D13" i="1"/>
  <c r="D12" i="1"/>
  <c r="D11" i="1"/>
  <c r="D10" i="1"/>
  <c r="D9" i="1"/>
  <c r="D7" i="1"/>
  <c r="D52" i="1"/>
  <c r="D51" i="1"/>
  <c r="D50" i="1"/>
  <c r="D49" i="1"/>
  <c r="D48" i="1"/>
  <c r="D47" i="1"/>
  <c r="D45" i="1"/>
  <c r="D44" i="1"/>
  <c r="D42" i="1"/>
  <c r="D41" i="1"/>
  <c r="D40" i="1"/>
  <c r="D39" i="1"/>
  <c r="D37" i="1"/>
  <c r="D36" i="1"/>
  <c r="D35" i="1"/>
  <c r="C6" i="2"/>
  <c r="B9" i="2" s="1"/>
  <c r="D26" i="1"/>
  <c r="D25" i="1"/>
  <c r="D24" i="1"/>
  <c r="D28" i="1"/>
  <c r="D33" i="1"/>
  <c r="D32" i="1"/>
  <c r="D31" i="1"/>
  <c r="D30" i="1"/>
  <c r="D29" i="1"/>
  <c r="D22" i="1"/>
  <c r="D3" i="1"/>
  <c r="D21" i="1"/>
  <c r="D53" i="1"/>
  <c r="D20" i="1"/>
  <c r="D46" i="1"/>
  <c r="D19" i="1"/>
  <c r="D38" i="1"/>
  <c r="D18" i="1"/>
  <c r="D34" i="1"/>
  <c r="D17" i="1"/>
  <c r="D27" i="1"/>
  <c r="D8" i="1"/>
  <c r="D6" i="1"/>
  <c r="D5" i="1"/>
  <c r="D23" i="1"/>
  <c r="D4" i="1"/>
  <c r="D2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<sst xmlns="http://schemas.openxmlformats.org/spreadsheetml/2006/main" count="163" uniqueCount="130">
  <si>
    <t>Objective Code</t>
  </si>
  <si>
    <t>Prerequisite Objectives</t>
  </si>
  <si>
    <t>Estimated TTC (low, hrs)</t>
  </si>
  <si>
    <t>Estimated TTC (high, hrs)</t>
  </si>
  <si>
    <t>Completed?</t>
  </si>
  <si>
    <t>1.0.0</t>
  </si>
  <si>
    <t>2.0.0</t>
  </si>
  <si>
    <t>3.0.0</t>
  </si>
  <si>
    <t>Sand -&gt; Si Wafer Process Estabilished</t>
  </si>
  <si>
    <t>Photolithography and Chip Fabrication Process</t>
  </si>
  <si>
    <t>Die Packaging Process Complete</t>
  </si>
  <si>
    <t>4.0.0</t>
  </si>
  <si>
    <t>Characterization Equipment Acquired</t>
  </si>
  <si>
    <t>5.0.0</t>
  </si>
  <si>
    <t>CPU Architecture Estabilished</t>
  </si>
  <si>
    <t>6.0.0</t>
  </si>
  <si>
    <t>Logisim Simulation Completed</t>
  </si>
  <si>
    <t>7.0.0</t>
  </si>
  <si>
    <t>CMOS TTL Schematic</t>
  </si>
  <si>
    <t>8.0.0</t>
  </si>
  <si>
    <t>9.0.0</t>
  </si>
  <si>
    <t>10.0.0</t>
  </si>
  <si>
    <t>pandora Language Compiler</t>
  </si>
  <si>
    <t>TBASM Assembler</t>
  </si>
  <si>
    <t>Prereqs Met?</t>
  </si>
  <si>
    <t>YES</t>
  </si>
  <si>
    <t>CPU Built on Physical Hardware</t>
  </si>
  <si>
    <t>1.0.0, 2.0.0, 3.0.0, 4.0.0, 7.0.0</t>
  </si>
  <si>
    <t>1.1.0</t>
  </si>
  <si>
    <t>Purifying Sand into SiO2</t>
  </si>
  <si>
    <t>1.2.0</t>
  </si>
  <si>
    <t>Purifying SiO2 into 9N SiO2</t>
  </si>
  <si>
    <t>SiO2 into Polycrystalline Si</t>
  </si>
  <si>
    <t>1.3.0</t>
  </si>
  <si>
    <t>1.4.0</t>
  </si>
  <si>
    <t>1.5.0</t>
  </si>
  <si>
    <t>Polycrystalline Si into Doped Monocrystalline Si</t>
  </si>
  <si>
    <t>5.1.0</t>
  </si>
  <si>
    <t>5.2.0</t>
  </si>
  <si>
    <t>5.3.0</t>
  </si>
  <si>
    <t>5.4.0</t>
  </si>
  <si>
    <t>5.5.0</t>
  </si>
  <si>
    <t>5.6.0</t>
  </si>
  <si>
    <t>Bus Width Selected</t>
  </si>
  <si>
    <t>Assembly Instruction Architecture</t>
  </si>
  <si>
    <t>ALU requirements outlined</t>
  </si>
  <si>
    <t>Bus Logic requirements outlined</t>
  </si>
  <si>
    <t>Register File requirements outlined</t>
  </si>
  <si>
    <t>6.1.0</t>
  </si>
  <si>
    <t>Arithmetic Logic Unit</t>
  </si>
  <si>
    <t>6.2.0</t>
  </si>
  <si>
    <t>Register File</t>
  </si>
  <si>
    <t>6.3.0</t>
  </si>
  <si>
    <t>Bus Logic</t>
  </si>
  <si>
    <t>6.4.0</t>
  </si>
  <si>
    <t>Port Requirements outlined</t>
  </si>
  <si>
    <t>Port Handlers</t>
  </si>
  <si>
    <t>6.5.0</t>
  </si>
  <si>
    <t>EEPROM written</t>
  </si>
  <si>
    <t>6.6.0</t>
  </si>
  <si>
    <t>Full Scale Test</t>
  </si>
  <si>
    <t>5.7.0</t>
  </si>
  <si>
    <t>Control Signals Listed</t>
  </si>
  <si>
    <t>Misc Charts, non Row Dependent</t>
  </si>
  <si>
    <t>Objective-hours Finished</t>
  </si>
  <si>
    <t>Objective-hours Remaining</t>
  </si>
  <si>
    <t>Objectives Finished</t>
  </si>
  <si>
    <t>Objectives Remaining</t>
  </si>
  <si>
    <t>est. best case</t>
  </si>
  <si>
    <t>est. worst case</t>
  </si>
  <si>
    <t>7.1.0</t>
  </si>
  <si>
    <t>7.2.0</t>
  </si>
  <si>
    <t>7.3.0</t>
  </si>
  <si>
    <t>CMOS Transistor Circuit Schematic</t>
  </si>
  <si>
    <t>CMOS Transistor Count and Critical Path Analysis</t>
  </si>
  <si>
    <t>Photolithography Mask / Pattern Designs</t>
  </si>
  <si>
    <t>Objective Description</t>
  </si>
  <si>
    <t>8.1.0</t>
  </si>
  <si>
    <t>8.2.0</t>
  </si>
  <si>
    <t>8.3.0</t>
  </si>
  <si>
    <t>Basic C-based file IO system</t>
  </si>
  <si>
    <t>Single-Pass Lexer implemented</t>
  </si>
  <si>
    <t>8.4.0</t>
  </si>
  <si>
    <t>Macro Support incorporated into Lexer</t>
  </si>
  <si>
    <t>Instruction to Binary Output Assembler</t>
  </si>
  <si>
    <t>Self-Assembly</t>
  </si>
  <si>
    <t>8.5.0</t>
  </si>
  <si>
    <t>8.6.0</t>
  </si>
  <si>
    <t>Standard Macro Library</t>
  </si>
  <si>
    <t>5.0.0, 5.3.0</t>
  </si>
  <si>
    <t>5.0.0, 5.6.0</t>
  </si>
  <si>
    <t>5.0.0, 5.4.0</t>
  </si>
  <si>
    <t>5.0.0, 5.5.0</t>
  </si>
  <si>
    <t>5.0.0, 5.7.0</t>
  </si>
  <si>
    <t xml:space="preserve"> 6.5.0, 6.4.0, 6.3.0, 6.2.0, 6.1.0</t>
  </si>
  <si>
    <t>9.1.0</t>
  </si>
  <si>
    <t>9.2.0</t>
  </si>
  <si>
    <t>9.3.0</t>
  </si>
  <si>
    <t>9.4.0</t>
  </si>
  <si>
    <t>9.5.0</t>
  </si>
  <si>
    <t>9.6.0</t>
  </si>
  <si>
    <t>Define Language Architecture</t>
  </si>
  <si>
    <t>Single-Pass Tokenizer implemented</t>
  </si>
  <si>
    <t>8.0.0, 8.1.0</t>
  </si>
  <si>
    <t>Implement AST generator</t>
  </si>
  <si>
    <t>Self-Compilation</t>
  </si>
  <si>
    <t>Standard Function Library</t>
  </si>
  <si>
    <t>Functional Compiler</t>
  </si>
  <si>
    <t>8.7.0</t>
  </si>
  <si>
    <t>8.3.0, 8.5.0</t>
  </si>
  <si>
    <t>2.1.0</t>
  </si>
  <si>
    <t>Boule Slicing, Wafer Polishing</t>
  </si>
  <si>
    <t>2.2.0</t>
  </si>
  <si>
    <t>2.3.0</t>
  </si>
  <si>
    <t>Dummy masks for simple devices</t>
  </si>
  <si>
    <t>2.1.0, 7.1.0</t>
  </si>
  <si>
    <t>Photoresist application and development equipment</t>
  </si>
  <si>
    <t>Confirmed pattern transfer via masks/patterns</t>
  </si>
  <si>
    <t>2.2.0, 2.1.0, 7.3.0</t>
  </si>
  <si>
    <t>2.4.0</t>
  </si>
  <si>
    <t>Metal Thin Film Deposition Process confirmed</t>
  </si>
  <si>
    <t>2.5.0</t>
  </si>
  <si>
    <t>Dry Etching process estabilished</t>
  </si>
  <si>
    <t>2.6.0</t>
  </si>
  <si>
    <t>Oxide Growth System estabilished</t>
  </si>
  <si>
    <t>2.7.0</t>
  </si>
  <si>
    <t>Selective Doping process estabilished</t>
  </si>
  <si>
    <t>1.5.0, 2.1.0</t>
  </si>
  <si>
    <t>2.8.0</t>
  </si>
  <si>
    <t>Dielectric of choice deposited onto wafer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</si>
</sst>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0" xfId="0" applyFill="1"/>
    <xf numFmtId="0" fontId="1" fillId="0" borderId="0" xfId="0" applyFont="1" applyFill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0" xfId="0" applyFont="1" applyFill="1"/>
    <xf numFmtId="0" fontId="0" fillId="0" borderId="0" xfId="0" applyFont="1" applyFill="1" applyAlignment="1">
      <alignment horizontal="center" vertical="center"/>
    </xf>
    <xf numFmtId="0" fontId="0" fillId="0" borderId="2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0" fillId="0" borderId="0" xfId="0" applyFont="1"/>
    <xf numFmtId="0" fontId="0" fillId="0" borderId="0" xfId="0" applyFont="1" applyFill="1"/>
    <xf numFmtId="0" fontId="1" fillId="2" borderId="3" xfId="0" applyFont="1" applyFill="1" applyBorder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6">
    <dxf>
      <fill>
        <patternFill>
          <bgColor theme="9" tint="0.399945066682943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9"/>
      </font>
    </dxf>
    <dxf>
      <font>
        <color rgb="FFFF0000"/>
      </font>
    </dxf>
    <dxf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149967955565050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oBJECTIVES COMPLETE, BY NUMBER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6312894314894208"/>
          <c:y val="0.24261446485855934"/>
          <c:w val="0.52082244065669758"/>
          <c:h val="0.69720034995625535"/>
        </c:manualLayout>
      </c:layout>
      <c:doughnutChart>
        <c:varyColors val="1"/>
        <c:ser>
          <c:idx val="0"/>
          <c:order val="0"/>
          <c:spPr>
            <a:solidFill>
              <a:srgbClr val="FF0000"/>
            </a:solidFill>
          </c:spPr>
          <c:dPt>
            <c:idx val="0"/>
            <c:bubble3D val="0"/>
            <c:spPr>
              <a:solidFill>
                <a:srgbClr val="FF0000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459-4251-9007-F82D53F11B4E}"/>
              </c:ext>
            </c:extLst>
          </c:dPt>
          <c:dPt>
            <c:idx val="1"/>
            <c:bubble3D val="0"/>
            <c:spPr>
              <a:solidFill>
                <a:schemeClr val="accent6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2-C459-4251-9007-F82D53F11B4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eparator>
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'Charts Backend'!$A$2:$A$3</c:f>
              <c:strCache>
                <c:ptCount val="2"/>
                <c:pt idx="0">
                  <c:v>Objectives Remaining</c:v>
                </c:pt>
                <c:pt idx="1">
                  <c:v>Objectives Finished</c:v>
                </c:pt>
              </c:strCache>
            </c:strRef>
          </c:cat>
          <c:val>
            <c:numRef>
              <c:f>'Charts Backend'!$B$2:$B$3</c:f>
              <c:numCache>
                <c:formatCode>General</c:formatCode>
                <c:ptCount val="2"/>
                <c:pt idx="0">
                  <c:v>47</c:v>
                </c:pt>
                <c:pt idx="1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59-4251-9007-F82D53F11B4E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OBJECTIVE-HOURS COMPLETE, EST. BEST CASE SCENARIO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59696761730741"/>
          <c:y val="0.2993958958651598"/>
          <c:w val="0.57759208602632472"/>
          <c:h val="0.67882261104417851"/>
        </c:manualLayout>
      </c:layout>
      <c:doughnutChart>
        <c:varyColors val="1"/>
        <c:ser>
          <c:idx val="0"/>
          <c:order val="0"/>
          <c:spPr>
            <a:solidFill>
              <a:schemeClr val="accent6"/>
            </a:solidFill>
          </c:spPr>
          <c:dPt>
            <c:idx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1"/>
            <c:bubble3D val="0"/>
            <c:spPr>
              <a:solidFill>
                <a:srgbClr val="FF0000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53B-4625-BA7F-98553E44889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eparator>
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'Charts Backend'!$A$5:$A$6</c:f>
              <c:strCache>
                <c:ptCount val="2"/>
                <c:pt idx="0">
                  <c:v>Objective-hours Finished</c:v>
                </c:pt>
                <c:pt idx="1">
                  <c:v>Objective-hours Remaining</c:v>
                </c:pt>
              </c:strCache>
            </c:strRef>
          </c:cat>
          <c:val>
            <c:numRef>
              <c:f>'Charts Backend'!$B$5:$B$6</c:f>
              <c:numCache>
                <c:formatCode>General</c:formatCode>
                <c:ptCount val="2"/>
                <c:pt idx="0">
                  <c:v>4</c:v>
                </c:pt>
                <c:pt idx="1">
                  <c:v>953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3B-4625-BA7F-98553E44889C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OBJECTIVE</a:t>
            </a:r>
            <a:r>
              <a:rPr lang="en-US" baseline="0"/>
              <a:t>-HOURS COMPLETE, EST. WORST CASE SCENARIO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5765526681069351"/>
          <c:y val="0.28622718741700448"/>
          <c:w val="0.57211252754136821"/>
          <c:h val="0.67357094221471792"/>
        </c:manualLayout>
      </c:layout>
      <c:doughnutChart>
        <c:varyColors val="1"/>
        <c:ser>
          <c:idx val="0"/>
          <c:order val="0"/>
          <c:spPr>
            <a:solidFill>
              <a:schemeClr val="accent6"/>
            </a:solidFill>
          </c:spPr>
          <c:dPt>
            <c:idx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1"/>
            <c:bubble3D val="0"/>
            <c:spPr>
              <a:solidFill>
                <a:srgbClr val="FF0000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EAD-4CEE-8A7D-F4C6399C592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eparator>
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'Charts Backend'!$A$8:$A$9</c:f>
              <c:strCache>
                <c:ptCount val="2"/>
                <c:pt idx="0">
                  <c:v>Objective-hours Finished</c:v>
                </c:pt>
                <c:pt idx="1">
                  <c:v>Objective-hours Remaining</c:v>
                </c:pt>
              </c:strCache>
            </c:strRef>
          </c:cat>
          <c:val>
            <c:numRef>
              <c:f>'Charts Backend'!$B$8:$B$9</c:f>
              <c:numCache>
                <c:formatCode>General</c:formatCode>
                <c:ptCount val="2"/>
                <c:pt idx="0">
                  <c:v>10</c:v>
                </c:pt>
                <c:pt idx="1">
                  <c:v>5163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AD-4CEE-8A7D-F4C6399C592B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6</xdr:col>
      <xdr:colOff>762000</xdr:colOff>
      <xdr:row>0</xdr:row>
      <xdr:rowOff>2432</xdr:rowOff>
    </xdr:from>
    <xdr:to>
      <xdr:col>11</xdr:col>
      <xdr:colOff>494490</xdr:colOff>
      <xdr:row>14</xdr:row>
      <xdr:rowOff>178341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F99CF25-3763-56ED-5EBB-DA8313D732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6</xdr:col>
      <xdr:colOff>762000</xdr:colOff>
      <xdr:row>14</xdr:row>
      <xdr:rowOff>172666</xdr:rowOff>
    </xdr:from>
    <xdr:to>
      <xdr:col>11</xdr:col>
      <xdr:colOff>494490</xdr:colOff>
      <xdr:row>32</xdr:row>
      <xdr:rowOff>16213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97596F81-7D09-2053-3DE3-2FE64E4C98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6</xdr:col>
      <xdr:colOff>762000</xdr:colOff>
      <xdr:row>32</xdr:row>
      <xdr:rowOff>2432</xdr:rowOff>
    </xdr:from>
    <xdr:to>
      <xdr:col>11</xdr:col>
      <xdr:colOff>510702</xdr:colOff>
      <xdr:row>48</xdr:row>
      <xdr:rowOff>178340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54D6164A-F81E-6341-C5BF-FD8C8F4B4A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C138E4-13AB-49D3-9FED-012574D3846D}">
  <sheetPr codeName="Sheet1"/>
  <dimension ref="A1:I72"/>
  <sheetViews>
    <sheetView tabSelected="1" topLeftCell="A13" zoomScale="94" workbookViewId="0">
      <selection activeCell="C25" sqref="C25"/>
    </sheetView>
  </sheetViews>
  <sheetFormatPr defaultRowHeight="14.4" x14ac:dyDescent="0.3"/>
  <cols>
    <col min="1" max="1" width="14.77734375" style="2" customWidth="1"/>
    <col min="2" max="2" width="43.5546875" style="2" customWidth="1"/>
    <col min="3" max="3" width="40.109375" style="2" customWidth="1"/>
    <col min="4" max="4" width="15.88671875" style="2" customWidth="1"/>
    <col min="5" max="5" width="21" style="2" customWidth="1"/>
    <col min="6" max="6" width="22.21875" style="2" customWidth="1"/>
    <col min="7" max="7" width="12.77734375" style="3" customWidth="1"/>
    <col min="8" max="8" width="12.77734375" customWidth="1"/>
    <col min="9" max="9" width="14.77734375" customWidth="1"/>
  </cols>
  <sheetData>
    <row r="1" spans="1:9" x14ac:dyDescent="0.3">
      <c r="A1" s="1" t="s">
        <v>0</v>
      </c>
      <c r="B1" s="1" t="s">
        <v>76</v>
      </c>
      <c r="C1" s="1" t="s">
        <v>1</v>
      </c>
      <c r="D1" s="1" t="s">
        <v>24</v>
      </c>
      <c r="E1" s="1" t="s">
        <v>2</v>
      </c>
      <c r="F1" s="1" t="s">
        <v>3</v>
      </c>
      <c r="G1" s="15" t="s">
        <v>4</v>
      </c>
      <c r="H1" s="12"/>
    </row>
    <row r="2" spans="1:9" s="9" customFormat="1" x14ac:dyDescent="0.3">
      <c r="A2" s="7" t="s">
        <v>5</v>
      </c>
      <c r="B2" s="7" t="s">
        <v>8</v>
      </c>
      <c r="C2" s="7"/>
      <c r="D2" s="4" t="str" cm="1">
        <f t="array" ref="D2">PrereqsMet(C2, $A$2:$A$132, $G$2:$G$132, A2)</f>
        <v>YES</v>
      </c>
      <c r="E2" s="7"/>
      <c r="F2" s="7"/>
      <c r="G2" s="8"/>
      <c r="H2"/>
    </row>
    <row r="3" spans="1:9" s="6" customFormat="1" x14ac:dyDescent="0.3">
      <c r="A3" s="4" t="s">
        <v>28</v>
      </c>
      <c r="B3" s="4" t="s">
        <v>29</v>
      </c>
      <c r="C3" s="4"/>
      <c r="D3" s="4" t="str" cm="1">
        <f t="array" ref="D3">PrereqsMet(C3, $A$2:$A$132, $G$2:$G$132, A3)</f>
        <v>YES</v>
      </c>
      <c r="E3" s="4">
        <v>50</v>
      </c>
      <c r="F3" s="4">
        <v>200</v>
      </c>
      <c r="G3" s="5"/>
      <c r="H3"/>
      <c r="I3" s="9"/>
    </row>
    <row r="4" spans="1:9" s="6" customFormat="1" x14ac:dyDescent="0.3">
      <c r="A4" s="4" t="s">
        <v>30</v>
      </c>
      <c r="B4" s="4" t="s">
        <v>31</v>
      </c>
      <c r="C4" s="4" t="s">
        <v>28</v>
      </c>
      <c r="D4" s="4" t="str" cm="1">
        <f t="array" ref="D4">PrereqsMet(C4, $A$2:$A$132, $G$2:$G$132, A4)</f>
        <v>NO</v>
      </c>
      <c r="E4" s="4">
        <v>100</v>
      </c>
      <c r="F4" s="4">
        <v>500</v>
      </c>
      <c r="G4" s="5"/>
      <c r="H4"/>
      <c r="I4" s="9"/>
    </row>
    <row r="5" spans="1:9" s="6" customFormat="1" x14ac:dyDescent="0.3">
      <c r="A5" s="4" t="s">
        <v>33</v>
      </c>
      <c r="B5" s="4" t="s">
        <v>32</v>
      </c>
      <c r="C5" s="4" t="s">
        <v>30</v>
      </c>
      <c r="D5" s="4" t="str" cm="1">
        <f t="array" ref="D5">PrereqsMet(C5, $A$2:$A$132, $G$2:$G$132, A5)</f>
        <v>NO</v>
      </c>
      <c r="E5" s="4">
        <v>100</v>
      </c>
      <c r="F5" s="4">
        <v>200</v>
      </c>
      <c r="G5" s="5"/>
      <c r="H5"/>
    </row>
    <row r="6" spans="1:9" s="6" customFormat="1" x14ac:dyDescent="0.3">
      <c r="A6" s="4" t="s">
        <v>34</v>
      </c>
      <c r="B6" s="4" t="s">
        <v>36</v>
      </c>
      <c r="C6" s="4" t="s">
        <v>33</v>
      </c>
      <c r="D6" s="4" t="str" cm="1">
        <f t="array" ref="D6">PrereqsMet(C6, $A$2:$A$132, $G$2:$G$132, A6)</f>
        <v>NO</v>
      </c>
      <c r="E6" s="4">
        <v>200</v>
      </c>
      <c r="F6" s="4">
        <v>600</v>
      </c>
      <c r="G6" s="5"/>
      <c r="H6"/>
    </row>
    <row r="7" spans="1:9" s="6" customFormat="1" x14ac:dyDescent="0.3">
      <c r="A7" s="10" t="s">
        <v>35</v>
      </c>
      <c r="B7" s="10" t="s">
        <v>111</v>
      </c>
      <c r="C7" s="10" t="s">
        <v>34</v>
      </c>
      <c r="D7" s="4" t="str" cm="1">
        <f t="array" ref="D7">PrereqsMet(C7, $A$2:$A$132, $G$2:$G$132, A7)</f>
        <v>NO</v>
      </c>
      <c r="E7" s="10">
        <v>30</v>
      </c>
      <c r="F7" s="10">
        <v>200</v>
      </c>
      <c r="G7" s="11"/>
      <c r="H7"/>
    </row>
    <row r="8" spans="1:9" s="9" customFormat="1" x14ac:dyDescent="0.3">
      <c r="A8" s="7" t="s">
        <v>6</v>
      </c>
      <c r="B8" s="7" t="s">
        <v>9</v>
      </c>
      <c r="C8" s="7"/>
      <c r="D8" s="4" t="str" cm="1">
        <f t="array" ref="D8">PrereqsMet(C8, $A$2:$A$132, $G$2:$G$132, A8)</f>
        <v>YES</v>
      </c>
      <c r="E8" s="7"/>
      <c r="F8" s="7"/>
      <c r="G8" s="8"/>
      <c r="H8"/>
    </row>
    <row r="9" spans="1:9" s="9" customFormat="1" x14ac:dyDescent="0.3">
      <c r="A9" s="10" t="s">
        <v>110</v>
      </c>
      <c r="B9" s="10" t="s">
        <v>114</v>
      </c>
      <c r="C9" s="10"/>
      <c r="D9" s="4" t="str" cm="1">
        <f t="array" ref="D9">PrereqsMet(C9, $A$2:$A$132, $G$2:$G$132, A9)</f>
        <v>YES</v>
      </c>
      <c r="E9" s="10">
        <v>1</v>
      </c>
      <c r="F9" s="10">
        <v>8</v>
      </c>
      <c r="G9" s="11"/>
      <c r="H9"/>
    </row>
    <row r="10" spans="1:9" s="9" customFormat="1" x14ac:dyDescent="0.3">
      <c r="A10" s="10" t="s">
        <v>112</v>
      </c>
      <c r="B10" s="10" t="s">
        <v>116</v>
      </c>
      <c r="C10" s="10"/>
      <c r="D10" s="4" t="str" cm="1">
        <f t="array" ref="D10">PrereqsMet(C10, $A$2:$A$132, $G$2:$G$132, A10)</f>
        <v>YES</v>
      </c>
      <c r="E10" s="10">
        <v>3</v>
      </c>
      <c r="F10" s="10">
        <v>20</v>
      </c>
      <c r="G10" s="11"/>
      <c r="H10"/>
    </row>
    <row r="11" spans="1:9" s="9" customFormat="1" x14ac:dyDescent="0.3">
      <c r="A11" s="10" t="s">
        <v>113</v>
      </c>
      <c r="B11" s="10" t="s">
        <v>117</v>
      </c>
      <c r="C11" s="10" t="s">
        <v>118</v>
      </c>
      <c r="D11" s="4" t="str" cm="1">
        <f t="array" ref="D11">PrereqsMet(C11, $A$2:$A$132, $G$2:$G$132, A11)</f>
        <v>NO</v>
      </c>
      <c r="E11" s="10">
        <v>10</v>
      </c>
      <c r="F11" s="10">
        <v>100</v>
      </c>
      <c r="G11" s="11"/>
      <c r="H11"/>
    </row>
    <row r="12" spans="1:9" s="9" customFormat="1" x14ac:dyDescent="0.3">
      <c r="A12" s="10" t="s">
        <v>119</v>
      </c>
      <c r="B12" s="10" t="s">
        <v>120</v>
      </c>
      <c r="C12" s="10" t="s">
        <v>35</v>
      </c>
      <c r="D12" s="4" t="str" cm="1">
        <f t="array" ref="D12">PrereqsMet(C12, $A$2:$A$132, $G$2:$G$132, A12)</f>
        <v>NO</v>
      </c>
      <c r="E12" s="10">
        <v>30</v>
      </c>
      <c r="F12" s="10">
        <v>200</v>
      </c>
      <c r="G12" s="11"/>
      <c r="H12"/>
    </row>
    <row r="13" spans="1:9" s="9" customFormat="1" x14ac:dyDescent="0.3">
      <c r="A13" s="10" t="s">
        <v>121</v>
      </c>
      <c r="B13" s="10" t="s">
        <v>122</v>
      </c>
      <c r="C13" s="10" t="s">
        <v>113</v>
      </c>
      <c r="D13" s="4" t="str" cm="1">
        <f t="array" ref="D13">PrereqsMet(C13, $A$2:$A$132, $G$2:$G$132, A13)</f>
        <v>NO</v>
      </c>
      <c r="E13" s="10">
        <v>20</v>
      </c>
      <c r="F13" s="10">
        <v>150</v>
      </c>
      <c r="G13" s="11"/>
      <c r="H13"/>
    </row>
    <row r="14" spans="1:9" s="9" customFormat="1" x14ac:dyDescent="0.3">
      <c r="A14" s="10" t="s">
        <v>123</v>
      </c>
      <c r="B14" s="10" t="s">
        <v>124</v>
      </c>
      <c r="C14" s="10" t="s">
        <v>35</v>
      </c>
      <c r="D14" s="4" t="str" cm="1">
        <f t="array" ref="D14">PrereqsMet(C14, $A$2:$A$132, $G$2:$G$132, A14)</f>
        <v>NO</v>
      </c>
      <c r="E14" s="10">
        <v>20</v>
      </c>
      <c r="F14" s="10">
        <v>80</v>
      </c>
      <c r="G14" s="11"/>
      <c r="H14"/>
    </row>
    <row r="15" spans="1:9" s="9" customFormat="1" x14ac:dyDescent="0.3">
      <c r="A15" s="10" t="s">
        <v>125</v>
      </c>
      <c r="B15" s="10" t="s">
        <v>126</v>
      </c>
      <c r="C15" s="10" t="s">
        <v>127</v>
      </c>
      <c r="D15" s="4" t="str" cm="1">
        <f t="array" ref="D15">PrereqsMet(C15, $A$2:$A$132, $G$2:$G$132, A15)</f>
        <v>NO</v>
      </c>
      <c r="E15" s="10">
        <v>40</v>
      </c>
      <c r="F15" s="10">
        <v>200</v>
      </c>
      <c r="G15" s="11"/>
      <c r="H15"/>
    </row>
    <row r="16" spans="1:9" s="9" customFormat="1" x14ac:dyDescent="0.3">
      <c r="A16" s="10" t="s">
        <v>128</v>
      </c>
      <c r="B16" s="10" t="s">
        <v>129</v>
      </c>
      <c r="C16" s="10" t="s">
        <v>35</v>
      </c>
      <c r="D16" s="4" t="str" cm="1">
        <f t="array" ref="D16">PrereqsMet(C16, $A$2:$A$132, $G$2:$G$132, A16)</f>
        <v>NO</v>
      </c>
      <c r="E16" s="10">
        <v>20</v>
      </c>
      <c r="F16" s="10">
        <v>300</v>
      </c>
      <c r="G16" s="11"/>
      <c r="H16"/>
    </row>
    <row r="17" spans="1:8" s="9" customFormat="1" x14ac:dyDescent="0.3">
      <c r="A17" s="7" t="s">
        <v>7</v>
      </c>
      <c r="B17" s="7" t="s">
        <v>10</v>
      </c>
      <c r="C17" s="7"/>
      <c r="D17" s="4" t="str" cm="1">
        <f t="array" ref="D17">PrereqsMet(C17, $A$2:$A$132, $G$2:$G$132, A17)</f>
        <v>YES</v>
      </c>
      <c r="E17" s="7">
        <v>200</v>
      </c>
      <c r="F17" s="7">
        <v>2000</v>
      </c>
      <c r="G17" s="8"/>
      <c r="H17"/>
    </row>
    <row r="18" spans="1:8" s="9" customFormat="1" x14ac:dyDescent="0.3">
      <c r="A18" s="7" t="s">
        <v>11</v>
      </c>
      <c r="B18" s="7" t="s">
        <v>12</v>
      </c>
      <c r="C18" s="7" t="s">
        <v>35</v>
      </c>
      <c r="D18" s="4" t="str" cm="1">
        <f t="array" ref="D18">PrereqsMet(C18, $A$2:$A$132, $G$2:$G$132, A18)</f>
        <v>NO</v>
      </c>
      <c r="E18" s="7">
        <v>0</v>
      </c>
      <c r="F18" s="7">
        <v>0</v>
      </c>
      <c r="G18" s="8"/>
      <c r="H18"/>
    </row>
    <row r="19" spans="1:8" s="9" customFormat="1" x14ac:dyDescent="0.3">
      <c r="A19" s="7" t="s">
        <v>13</v>
      </c>
      <c r="B19" s="7" t="s">
        <v>14</v>
      </c>
      <c r="C19" s="7"/>
      <c r="D19" s="4" t="str" cm="1">
        <f t="array" ref="D19">PrereqsMet(C19, $A$2:$A$132, $G$2:$G$132, A19)</f>
        <v>YES</v>
      </c>
      <c r="E19" s="7"/>
      <c r="F19" s="7"/>
      <c r="G19" s="8"/>
      <c r="H19"/>
    </row>
    <row r="20" spans="1:8" s="9" customFormat="1" x14ac:dyDescent="0.3">
      <c r="A20" s="10" t="s">
        <v>37</v>
      </c>
      <c r="B20" s="10" t="s">
        <v>43</v>
      </c>
      <c r="C20" s="10"/>
      <c r="D20" s="4" t="str" cm="1">
        <f t="array" ref="D20">PrereqsMet(C20, $A$2:$A$132, $G$2:$G$132, A20)</f>
        <v>YES</v>
      </c>
      <c r="E20" s="10">
        <v>0</v>
      </c>
      <c r="F20" s="10">
        <v>0</v>
      </c>
      <c r="G20" s="11" t="s">
        <v>25</v>
      </c>
      <c r="H20"/>
    </row>
    <row r="21" spans="1:8" s="9" customFormat="1" x14ac:dyDescent="0.3">
      <c r="A21" s="10" t="s">
        <v>38</v>
      </c>
      <c r="B21" s="10" t="s">
        <v>44</v>
      </c>
      <c r="C21" s="10" t="s">
        <v>37</v>
      </c>
      <c r="D21" s="4" t="str" cm="1">
        <f t="array" ref="D21">PrereqsMet(C21, $A$2:$A$132, $G$2:$G$132, A21)</f>
        <v>YES</v>
      </c>
      <c r="E21" s="10">
        <v>1</v>
      </c>
      <c r="F21" s="10">
        <v>3</v>
      </c>
      <c r="G21" s="11" t="s">
        <v>25</v>
      </c>
      <c r="H21"/>
    </row>
    <row r="22" spans="1:8" s="9" customFormat="1" x14ac:dyDescent="0.3">
      <c r="A22" s="10" t="s">
        <v>39</v>
      </c>
      <c r="B22" s="10" t="s">
        <v>45</v>
      </c>
      <c r="C22" s="10"/>
      <c r="D22" s="4" t="str" cm="1">
        <f t="array" ref="D22">PrereqsMet(C22, $A$2:$A$132, $G$2:$G$132, A22)</f>
        <v>YES</v>
      </c>
      <c r="E22" s="10">
        <v>1</v>
      </c>
      <c r="F22" s="10">
        <v>3</v>
      </c>
      <c r="G22" s="11" t="s">
        <v>25</v>
      </c>
      <c r="H22"/>
    </row>
    <row r="23" spans="1:8" s="9" customFormat="1" x14ac:dyDescent="0.3">
      <c r="A23" s="10" t="s">
        <v>40</v>
      </c>
      <c r="B23" s="10" t="s">
        <v>46</v>
      </c>
      <c r="C23" s="10"/>
      <c r="D23" s="4" t="str" cm="1">
        <f t="array" ref="D23">PrereqsMet(C23, $A$2:$A$132, $G$2:$G$132, A23)</f>
        <v>YES</v>
      </c>
      <c r="E23" s="10">
        <v>1</v>
      </c>
      <c r="F23" s="10">
        <v>2</v>
      </c>
      <c r="G23" s="11" t="s">
        <v>25</v>
      </c>
      <c r="H23"/>
    </row>
    <row r="24" spans="1:8" s="9" customFormat="1" x14ac:dyDescent="0.3">
      <c r="A24" s="10" t="s">
        <v>41</v>
      </c>
      <c r="B24" s="10" t="s">
        <v>55</v>
      </c>
      <c r="C24" s="10"/>
      <c r="D24" s="4" t="str" cm="1">
        <f t="array" ref="D24">PrereqsMet(C24, $A$2:$A$132, $G$2:$G$132, A24)</f>
        <v>YES</v>
      </c>
      <c r="E24" s="10">
        <v>1</v>
      </c>
      <c r="F24" s="10">
        <v>2</v>
      </c>
      <c r="G24" s="11"/>
      <c r="H24"/>
    </row>
    <row r="25" spans="1:8" s="9" customFormat="1" x14ac:dyDescent="0.3">
      <c r="A25" s="10" t="s">
        <v>42</v>
      </c>
      <c r="B25" s="10" t="s">
        <v>47</v>
      </c>
      <c r="C25" s="10"/>
      <c r="D25" s="4" t="str" cm="1">
        <f t="array" ref="D25">PrereqsMet(C25, $A$2:$A$132, $G$2:$G$132, A25)</f>
        <v>YES</v>
      </c>
      <c r="E25" s="10">
        <v>1</v>
      </c>
      <c r="F25" s="10">
        <v>2</v>
      </c>
      <c r="G25" s="11" t="s">
        <v>25</v>
      </c>
      <c r="H25"/>
    </row>
    <row r="26" spans="1:8" s="14" customFormat="1" x14ac:dyDescent="0.3">
      <c r="A26" s="10" t="s">
        <v>61</v>
      </c>
      <c r="B26" s="10" t="s">
        <v>62</v>
      </c>
      <c r="C26" s="10"/>
      <c r="D26" s="4" t="str" cm="1">
        <f t="array" ref="D26">PrereqsMet(C26, $A$2:$A$132, $G$2:$G$132, A26)</f>
        <v>YES</v>
      </c>
      <c r="E26" s="10">
        <v>1</v>
      </c>
      <c r="F26" s="10">
        <v>2</v>
      </c>
      <c r="G26" s="11"/>
      <c r="H26" s="13"/>
    </row>
    <row r="27" spans="1:8" s="9" customFormat="1" x14ac:dyDescent="0.3">
      <c r="A27" s="7" t="s">
        <v>15</v>
      </c>
      <c r="B27" s="7" t="s">
        <v>16</v>
      </c>
      <c r="C27" s="7" t="s">
        <v>13</v>
      </c>
      <c r="D27" s="4" t="str" cm="1">
        <f t="array" ref="D27">PrereqsMet(C27, $A$2:$A$132, $G$2:$G$132, A27)</f>
        <v>NO</v>
      </c>
      <c r="E27" s="7"/>
      <c r="F27" s="7"/>
      <c r="G27" s="8"/>
      <c r="H27"/>
    </row>
    <row r="28" spans="1:8" s="9" customFormat="1" x14ac:dyDescent="0.3">
      <c r="A28" s="10" t="s">
        <v>48</v>
      </c>
      <c r="B28" s="10" t="s">
        <v>49</v>
      </c>
      <c r="C28" s="10" t="s">
        <v>89</v>
      </c>
      <c r="D28" s="4" t="str" cm="1">
        <f t="array" ref="D28">PrereqsMet(C28, $A$2:$A$132, $G$2:$G$132, A28)</f>
        <v>NO</v>
      </c>
      <c r="E28" s="10">
        <v>2</v>
      </c>
      <c r="F28" s="10">
        <v>3</v>
      </c>
      <c r="G28" s="11"/>
      <c r="H28"/>
    </row>
    <row r="29" spans="1:8" s="9" customFormat="1" x14ac:dyDescent="0.3">
      <c r="A29" s="10" t="s">
        <v>50</v>
      </c>
      <c r="B29" s="10" t="s">
        <v>51</v>
      </c>
      <c r="C29" s="10" t="s">
        <v>90</v>
      </c>
      <c r="D29" s="4" t="str" cm="1">
        <f t="array" ref="D29">PrereqsMet(C29, $A$2:$A$132, $G$2:$G$132, A29)</f>
        <v>NO</v>
      </c>
      <c r="E29" s="10">
        <v>1</v>
      </c>
      <c r="F29" s="10">
        <v>2</v>
      </c>
      <c r="G29" s="11"/>
      <c r="H29"/>
    </row>
    <row r="30" spans="1:8" s="9" customFormat="1" x14ac:dyDescent="0.3">
      <c r="A30" s="10" t="s">
        <v>52</v>
      </c>
      <c r="B30" s="10" t="s">
        <v>53</v>
      </c>
      <c r="C30" s="10" t="s">
        <v>91</v>
      </c>
      <c r="D30" s="4" t="str" cm="1">
        <f t="array" ref="D30">PrereqsMet(C30, $A$2:$A$132, $G$2:$G$132, A30)</f>
        <v>NO</v>
      </c>
      <c r="E30" s="10">
        <v>3</v>
      </c>
      <c r="F30" s="10">
        <v>5</v>
      </c>
      <c r="G30" s="11"/>
      <c r="H30"/>
    </row>
    <row r="31" spans="1:8" s="9" customFormat="1" x14ac:dyDescent="0.3">
      <c r="A31" s="10" t="s">
        <v>54</v>
      </c>
      <c r="B31" s="10" t="s">
        <v>56</v>
      </c>
      <c r="C31" s="10" t="s">
        <v>92</v>
      </c>
      <c r="D31" s="4" t="str" cm="1">
        <f t="array" ref="D31">PrereqsMet(C31, $A$2:$A$132, $G$2:$G$132, A31)</f>
        <v>NO</v>
      </c>
      <c r="E31" s="10">
        <v>2</v>
      </c>
      <c r="F31" s="10">
        <v>3</v>
      </c>
      <c r="G31" s="11"/>
      <c r="H31"/>
    </row>
    <row r="32" spans="1:8" s="9" customFormat="1" x14ac:dyDescent="0.3">
      <c r="A32" s="10" t="s">
        <v>57</v>
      </c>
      <c r="B32" s="10" t="s">
        <v>58</v>
      </c>
      <c r="C32" s="10" t="s">
        <v>93</v>
      </c>
      <c r="D32" s="4" t="str" cm="1">
        <f t="array" ref="D32">PrereqsMet(C32, $A$2:$A$132, $G$2:$G$132, A32)</f>
        <v>NO</v>
      </c>
      <c r="E32" s="10">
        <v>2</v>
      </c>
      <c r="F32" s="10">
        <v>3</v>
      </c>
      <c r="G32" s="11"/>
      <c r="H32"/>
    </row>
    <row r="33" spans="1:8" s="9" customFormat="1" x14ac:dyDescent="0.3">
      <c r="A33" s="10" t="s">
        <v>59</v>
      </c>
      <c r="B33" s="10" t="s">
        <v>60</v>
      </c>
      <c r="C33" s="10" t="s">
        <v>94</v>
      </c>
      <c r="D33" s="4" t="str" cm="1">
        <f t="array" ref="D33">PrereqsMet(C33, $A$2:$A$132, $G$2:$G$132, A33)</f>
        <v>NO</v>
      </c>
      <c r="E33" s="10">
        <v>10</v>
      </c>
      <c r="F33" s="10">
        <v>20</v>
      </c>
      <c r="G33" s="11"/>
      <c r="H33"/>
    </row>
    <row r="34" spans="1:8" s="9" customFormat="1" x14ac:dyDescent="0.3">
      <c r="A34" s="7" t="s">
        <v>17</v>
      </c>
      <c r="B34" s="7" t="s">
        <v>18</v>
      </c>
      <c r="C34" s="7" t="s">
        <v>15</v>
      </c>
      <c r="D34" s="4" t="str" cm="1">
        <f t="array" ref="D34">PrereqsMet(C34, $A$2:$A$132, $G$2:$G$132, A34)</f>
        <v>NO</v>
      </c>
      <c r="E34" s="7"/>
      <c r="F34" s="7"/>
      <c r="G34" s="8"/>
      <c r="H34"/>
    </row>
    <row r="35" spans="1:8" s="9" customFormat="1" x14ac:dyDescent="0.3">
      <c r="A35" s="10" t="s">
        <v>70</v>
      </c>
      <c r="B35" s="10" t="s">
        <v>73</v>
      </c>
      <c r="C35" s="10" t="s">
        <v>15</v>
      </c>
      <c r="D35" s="4" t="str" cm="1">
        <f t="array" ref="D35">PrereqsMet(C35, $A$2:$A$132, $G$2:$G$132, A35)</f>
        <v>NO</v>
      </c>
      <c r="E35" s="10">
        <v>3</v>
      </c>
      <c r="F35" s="10">
        <v>5</v>
      </c>
      <c r="G35" s="11"/>
      <c r="H35"/>
    </row>
    <row r="36" spans="1:8" s="9" customFormat="1" x14ac:dyDescent="0.3">
      <c r="A36" s="10" t="s">
        <v>71</v>
      </c>
      <c r="B36" s="10" t="s">
        <v>74</v>
      </c>
      <c r="C36" s="10" t="s">
        <v>70</v>
      </c>
      <c r="D36" s="4" t="str" cm="1">
        <f t="array" ref="D36">PrereqsMet(C36, $A$2:$A$132, $G$2:$G$132, A36)</f>
        <v>NO</v>
      </c>
      <c r="E36" s="10">
        <v>2</v>
      </c>
      <c r="F36" s="10">
        <v>5</v>
      </c>
      <c r="G36" s="11"/>
      <c r="H36"/>
    </row>
    <row r="37" spans="1:8" s="9" customFormat="1" x14ac:dyDescent="0.3">
      <c r="A37" s="10" t="s">
        <v>72</v>
      </c>
      <c r="B37" s="10" t="s">
        <v>75</v>
      </c>
      <c r="C37" s="10" t="s">
        <v>115</v>
      </c>
      <c r="D37" s="4" t="str" cm="1">
        <f t="array" ref="D37">PrereqsMet(C37, $A$2:$A$132, $G$2:$G$132, A37)</f>
        <v>NO</v>
      </c>
      <c r="E37" s="10">
        <v>10</v>
      </c>
      <c r="F37" s="10">
        <v>30</v>
      </c>
      <c r="G37" s="11"/>
      <c r="H37"/>
    </row>
    <row r="38" spans="1:8" s="9" customFormat="1" x14ac:dyDescent="0.3">
      <c r="A38" s="7" t="s">
        <v>19</v>
      </c>
      <c r="B38" s="7" t="s">
        <v>23</v>
      </c>
      <c r="C38" s="7" t="s">
        <v>38</v>
      </c>
      <c r="D38" s="4" t="str" cm="1">
        <f t="array" ref="D38">PrereqsMet(C38, $A$2:$A$132, $G$2:$G$132, A38)</f>
        <v>YES</v>
      </c>
      <c r="E38" s="7"/>
      <c r="F38" s="7"/>
      <c r="G38" s="8"/>
      <c r="H38"/>
    </row>
    <row r="39" spans="1:8" s="9" customFormat="1" x14ac:dyDescent="0.3">
      <c r="A39" s="10" t="s">
        <v>77</v>
      </c>
      <c r="B39" s="10" t="s">
        <v>80</v>
      </c>
      <c r="C39" s="10"/>
      <c r="D39" s="4" t="str" cm="1">
        <f t="array" ref="D39">PrereqsMet(C39, $A$2:$A$132, $G$2:$G$132, A39)</f>
        <v>YES</v>
      </c>
      <c r="E39" s="10">
        <v>3</v>
      </c>
      <c r="F39" s="10">
        <v>5</v>
      </c>
      <c r="G39" s="11"/>
      <c r="H39"/>
    </row>
    <row r="40" spans="1:8" s="9" customFormat="1" x14ac:dyDescent="0.3">
      <c r="A40" s="10" t="s">
        <v>78</v>
      </c>
      <c r="B40" s="10" t="s">
        <v>81</v>
      </c>
      <c r="C40" s="10" t="s">
        <v>77</v>
      </c>
      <c r="D40" s="4" t="str" cm="1">
        <f t="array" ref="D40">PrereqsMet(C40, $A$2:$A$132, $G$2:$G$132, A40)</f>
        <v>NO</v>
      </c>
      <c r="E40" s="10">
        <v>2</v>
      </c>
      <c r="F40" s="10">
        <v>5</v>
      </c>
      <c r="G40" s="11"/>
      <c r="H40"/>
    </row>
    <row r="41" spans="1:8" s="9" customFormat="1" x14ac:dyDescent="0.3">
      <c r="A41" s="10" t="s">
        <v>79</v>
      </c>
      <c r="B41" s="10" t="s">
        <v>83</v>
      </c>
      <c r="C41" s="10" t="s">
        <v>78</v>
      </c>
      <c r="D41" s="4" t="str" cm="1">
        <f t="array" ref="D41">PrereqsMet(C41, $A$2:$A$132, $G$2:$G$132, A41)</f>
        <v>NO</v>
      </c>
      <c r="E41" s="10">
        <v>1</v>
      </c>
      <c r="F41" s="10">
        <v>5</v>
      </c>
      <c r="G41" s="11"/>
      <c r="H41"/>
    </row>
    <row r="42" spans="1:8" s="9" customFormat="1" x14ac:dyDescent="0.3">
      <c r="A42" s="10" t="s">
        <v>82</v>
      </c>
      <c r="B42" s="10" t="s">
        <v>84</v>
      </c>
      <c r="C42" s="10" t="s">
        <v>78</v>
      </c>
      <c r="D42" s="4" t="str" cm="1">
        <f t="array" ref="D42">PrereqsMet(C42, $A$2:$A$132, $G$2:$G$132, A42)</f>
        <v>NO</v>
      </c>
      <c r="E42" s="10">
        <v>1</v>
      </c>
      <c r="F42" s="10">
        <v>2</v>
      </c>
      <c r="G42" s="11"/>
      <c r="H42"/>
    </row>
    <row r="43" spans="1:8" s="9" customFormat="1" x14ac:dyDescent="0.3">
      <c r="A43" s="10" t="s">
        <v>86</v>
      </c>
      <c r="B43" s="10" t="s">
        <v>107</v>
      </c>
      <c r="C43" s="10" t="s">
        <v>82</v>
      </c>
      <c r="D43" s="4"/>
      <c r="E43" s="10">
        <v>2</v>
      </c>
      <c r="F43" s="10">
        <v>5</v>
      </c>
      <c r="G43" s="11"/>
      <c r="H43"/>
    </row>
    <row r="44" spans="1:8" s="9" customFormat="1" x14ac:dyDescent="0.3">
      <c r="A44" s="10" t="s">
        <v>87</v>
      </c>
      <c r="B44" s="10" t="s">
        <v>85</v>
      </c>
      <c r="C44" s="10" t="s">
        <v>86</v>
      </c>
      <c r="D44" s="4" t="str" cm="1">
        <f t="array" ref="D44">PrereqsMet(C44, $A$2:$A$132, $G$2:$G$132, A44)</f>
        <v>NO</v>
      </c>
      <c r="E44" s="10">
        <v>5</v>
      </c>
      <c r="F44" s="10">
        <v>20</v>
      </c>
      <c r="G44" s="11"/>
      <c r="H44"/>
    </row>
    <row r="45" spans="1:8" s="9" customFormat="1" x14ac:dyDescent="0.3">
      <c r="A45" s="10" t="s">
        <v>108</v>
      </c>
      <c r="B45" s="10" t="s">
        <v>88</v>
      </c>
      <c r="C45" s="10" t="s">
        <v>109</v>
      </c>
      <c r="D45" s="4" t="str" cm="1">
        <f t="array" ref="D45">PrereqsMet(C45, $A$2:$A$132, $G$2:$G$132, A45)</f>
        <v>NO</v>
      </c>
      <c r="E45" s="10">
        <v>10</v>
      </c>
      <c r="F45" s="10">
        <v>20</v>
      </c>
      <c r="G45" s="11"/>
      <c r="H45"/>
    </row>
    <row r="46" spans="1:8" s="9" customFormat="1" x14ac:dyDescent="0.3">
      <c r="A46" s="7" t="s">
        <v>20</v>
      </c>
      <c r="B46" s="7" t="s">
        <v>22</v>
      </c>
      <c r="C46" s="7" t="s">
        <v>19</v>
      </c>
      <c r="D46" s="4" t="str" cm="1">
        <f t="array" ref="D46">PrereqsMet(C46, $A$2:$A$132, $G$2:$G$132, A46)</f>
        <v>NO</v>
      </c>
      <c r="E46" s="7"/>
      <c r="F46" s="7"/>
      <c r="G46" s="8"/>
      <c r="H46"/>
    </row>
    <row r="47" spans="1:8" s="9" customFormat="1" x14ac:dyDescent="0.3">
      <c r="A47" s="10" t="s">
        <v>95</v>
      </c>
      <c r="B47" s="10" t="s">
        <v>101</v>
      </c>
      <c r="C47" s="10" t="s">
        <v>19</v>
      </c>
      <c r="D47" s="4" t="str" cm="1">
        <f t="array" ref="D47">PrereqsMet(C47, $A$2:$A$132, $G$2:$G$132, A47)</f>
        <v>NO</v>
      </c>
      <c r="E47" s="10">
        <v>2</v>
      </c>
      <c r="F47" s="10">
        <v>10</v>
      </c>
      <c r="G47" s="11"/>
      <c r="H47"/>
    </row>
    <row r="48" spans="1:8" s="9" customFormat="1" x14ac:dyDescent="0.3">
      <c r="A48" s="10" t="s">
        <v>96</v>
      </c>
      <c r="B48" s="10" t="s">
        <v>102</v>
      </c>
      <c r="C48" s="10" t="s">
        <v>103</v>
      </c>
      <c r="D48" s="4" t="str" cm="1">
        <f t="array" ref="D48">PrereqsMet(C48, $A$2:$A$132, $G$2:$G$132, A48)</f>
        <v>NO</v>
      </c>
      <c r="E48" s="10">
        <v>1</v>
      </c>
      <c r="F48" s="10">
        <v>3</v>
      </c>
      <c r="G48" s="11"/>
      <c r="H48"/>
    </row>
    <row r="49" spans="1:8" s="9" customFormat="1" x14ac:dyDescent="0.3">
      <c r="A49" s="10" t="s">
        <v>97</v>
      </c>
      <c r="B49" s="10" t="s">
        <v>104</v>
      </c>
      <c r="C49" s="10" t="s">
        <v>96</v>
      </c>
      <c r="D49" s="4" t="str" cm="1">
        <f t="array" ref="D49">PrereqsMet(C49, $A$2:$A$132, $G$2:$G$132, A49)</f>
        <v>NO</v>
      </c>
      <c r="E49" s="10">
        <v>30</v>
      </c>
      <c r="F49" s="10">
        <v>100</v>
      </c>
      <c r="G49" s="11"/>
      <c r="H49"/>
    </row>
    <row r="50" spans="1:8" s="9" customFormat="1" x14ac:dyDescent="0.3">
      <c r="A50" s="10" t="s">
        <v>98</v>
      </c>
      <c r="B50" s="10" t="s">
        <v>107</v>
      </c>
      <c r="C50" s="10" t="s">
        <v>97</v>
      </c>
      <c r="D50" s="4" t="str" cm="1">
        <f t="array" ref="D50">PrereqsMet(C50, $A$2:$A$132, $G$2:$G$132, A50)</f>
        <v>NO</v>
      </c>
      <c r="E50" s="10">
        <v>20</v>
      </c>
      <c r="F50" s="10">
        <v>100</v>
      </c>
      <c r="G50" s="11"/>
      <c r="H50"/>
    </row>
    <row r="51" spans="1:8" s="9" customFormat="1" x14ac:dyDescent="0.3">
      <c r="A51" s="10" t="s">
        <v>99</v>
      </c>
      <c r="B51" s="10" t="s">
        <v>105</v>
      </c>
      <c r="C51" s="10" t="s">
        <v>98</v>
      </c>
      <c r="D51" s="4" t="str" cm="1">
        <f t="array" ref="D51">PrereqsMet(C51, $A$2:$A$132, $G$2:$G$132, A51)</f>
        <v>NO</v>
      </c>
      <c r="E51" s="10">
        <v>10</v>
      </c>
      <c r="F51" s="10">
        <v>30</v>
      </c>
      <c r="G51" s="11"/>
      <c r="H51"/>
    </row>
    <row r="52" spans="1:8" s="9" customFormat="1" x14ac:dyDescent="0.3">
      <c r="A52" s="10" t="s">
        <v>100</v>
      </c>
      <c r="B52" s="10" t="s">
        <v>106</v>
      </c>
      <c r="C52" s="10" t="s">
        <v>98</v>
      </c>
      <c r="D52" s="4" t="str" cm="1">
        <f t="array" ref="D52">PrereqsMet(C52, $A$2:$A$132, $G$2:$G$132, A52)</f>
        <v>NO</v>
      </c>
      <c r="E52" s="10">
        <v>5</v>
      </c>
      <c r="F52" s="10">
        <v>20</v>
      </c>
      <c r="G52" s="11"/>
      <c r="H52"/>
    </row>
    <row r="53" spans="1:8" s="9" customFormat="1" x14ac:dyDescent="0.3">
      <c r="A53" s="7" t="s">
        <v>21</v>
      </c>
      <c r="B53" s="7" t="s">
        <v>26</v>
      </c>
      <c r="C53" s="7" t="s">
        <v>27</v>
      </c>
      <c r="D53" s="4" t="str" cm="1">
        <f t="array" ref="D53">PrereqsMet(C53, $A$2:$A$132, $G$2:$G$132, A53)</f>
        <v>NO</v>
      </c>
      <c r="E53" s="7"/>
      <c r="F53" s="7"/>
      <c r="G53" s="8"/>
      <c r="H53"/>
    </row>
    <row r="54" spans="1:8" s="6" customFormat="1" x14ac:dyDescent="0.3">
      <c r="A54" s="4"/>
      <c r="B54" s="4"/>
      <c r="C54" s="4"/>
      <c r="D54" s="4"/>
      <c r="E54" s="4"/>
      <c r="F54" s="4"/>
      <c r="G54" s="5"/>
      <c r="H54"/>
    </row>
    <row r="55" spans="1:8" s="6" customFormat="1" x14ac:dyDescent="0.3">
      <c r="A55" s="4"/>
      <c r="B55" s="4"/>
      <c r="C55" s="4"/>
      <c r="D55" s="4"/>
      <c r="E55" s="4"/>
      <c r="F55" s="4"/>
      <c r="G55" s="5"/>
      <c r="H55"/>
    </row>
    <row r="56" spans="1:8" s="6" customFormat="1" x14ac:dyDescent="0.3">
      <c r="A56" s="4"/>
      <c r="B56" s="4"/>
      <c r="C56" s="4"/>
      <c r="D56" s="4"/>
      <c r="E56" s="4"/>
      <c r="F56" s="4"/>
      <c r="G56" s="5"/>
      <c r="H56"/>
    </row>
    <row r="57" spans="1:8" s="6" customFormat="1" x14ac:dyDescent="0.3">
      <c r="A57" s="4"/>
      <c r="B57" s="4"/>
      <c r="C57" s="4"/>
      <c r="D57" s="4"/>
      <c r="E57" s="4"/>
      <c r="F57" s="4"/>
      <c r="G57" s="5"/>
      <c r="H57"/>
    </row>
    <row r="58" spans="1:8" s="6" customFormat="1" x14ac:dyDescent="0.3">
      <c r="A58" s="4"/>
      <c r="B58" s="4"/>
      <c r="C58" s="4"/>
      <c r="D58" s="4"/>
      <c r="E58" s="4"/>
      <c r="F58" s="4"/>
      <c r="G58" s="5"/>
      <c r="H58"/>
    </row>
    <row r="59" spans="1:8" s="6" customFormat="1" x14ac:dyDescent="0.3">
      <c r="A59" s="4"/>
      <c r="B59" s="4"/>
      <c r="C59" s="4"/>
      <c r="D59" s="4"/>
      <c r="E59" s="4"/>
      <c r="F59" s="4"/>
      <c r="G59" s="5"/>
      <c r="H59"/>
    </row>
    <row r="60" spans="1:8" s="6" customFormat="1" x14ac:dyDescent="0.3">
      <c r="A60" s="4"/>
      <c r="B60" s="4"/>
      <c r="C60" s="4"/>
      <c r="D60" s="4"/>
      <c r="E60" s="4"/>
      <c r="F60" s="4"/>
      <c r="G60" s="5"/>
      <c r="H60"/>
    </row>
    <row r="61" spans="1:8" s="6" customFormat="1" x14ac:dyDescent="0.3">
      <c r="A61" s="4"/>
      <c r="B61" s="4"/>
      <c r="C61" s="4"/>
      <c r="D61" s="4"/>
      <c r="E61" s="4"/>
      <c r="F61" s="4"/>
      <c r="G61" s="5"/>
      <c r="H61"/>
    </row>
    <row r="62" spans="1:8" s="6" customFormat="1" x14ac:dyDescent="0.3">
      <c r="A62" s="4"/>
      <c r="B62" s="4"/>
      <c r="C62" s="4"/>
      <c r="D62" s="4"/>
      <c r="E62" s="4"/>
      <c r="F62" s="4"/>
      <c r="G62" s="5"/>
      <c r="H62"/>
    </row>
    <row r="63" spans="1:8" s="6" customFormat="1" x14ac:dyDescent="0.3">
      <c r="A63" s="4"/>
      <c r="B63" s="4"/>
      <c r="C63" s="4"/>
      <c r="D63" s="4"/>
      <c r="E63" s="4"/>
      <c r="F63" s="4"/>
      <c r="G63" s="5"/>
      <c r="H63"/>
    </row>
    <row r="64" spans="1:8" s="6" customFormat="1" x14ac:dyDescent="0.3">
      <c r="A64" s="4"/>
      <c r="B64" s="4"/>
      <c r="C64" s="4"/>
      <c r="D64" s="4"/>
      <c r="E64" s="4"/>
      <c r="F64" s="4"/>
      <c r="G64" s="5"/>
      <c r="H64"/>
    </row>
    <row r="65" spans="1:8" s="6" customFormat="1" x14ac:dyDescent="0.3">
      <c r="A65" s="4"/>
      <c r="B65" s="4"/>
      <c r="C65" s="4"/>
      <c r="D65" s="4"/>
      <c r="E65" s="4"/>
      <c r="F65" s="4"/>
      <c r="G65" s="5"/>
      <c r="H65"/>
    </row>
    <row r="66" spans="1:8" s="6" customFormat="1" x14ac:dyDescent="0.3">
      <c r="A66" s="4"/>
      <c r="B66" s="4"/>
      <c r="C66" s="4"/>
      <c r="D66" s="4"/>
      <c r="E66" s="4"/>
      <c r="F66" s="4"/>
      <c r="G66" s="5"/>
      <c r="H66"/>
    </row>
    <row r="67" spans="1:8" s="6" customFormat="1" x14ac:dyDescent="0.3">
      <c r="A67" s="4"/>
      <c r="B67" s="4"/>
      <c r="C67" s="4"/>
      <c r="D67" s="4"/>
      <c r="E67" s="4"/>
      <c r="F67" s="4"/>
      <c r="G67" s="5"/>
      <c r="H67"/>
    </row>
    <row r="68" spans="1:8" s="6" customFormat="1" x14ac:dyDescent="0.3">
      <c r="A68" s="4"/>
      <c r="B68" s="4"/>
      <c r="C68" s="4"/>
      <c r="D68" s="4"/>
      <c r="E68" s="4"/>
      <c r="F68" s="4"/>
      <c r="G68" s="5"/>
      <c r="H68"/>
    </row>
    <row r="69" spans="1:8" s="6" customFormat="1" x14ac:dyDescent="0.3">
      <c r="A69" s="4"/>
      <c r="B69" s="4"/>
      <c r="C69" s="4"/>
      <c r="D69" s="4"/>
      <c r="E69" s="4"/>
      <c r="F69" s="4"/>
      <c r="G69" s="5"/>
      <c r="H69"/>
    </row>
    <row r="70" spans="1:8" s="6" customFormat="1" x14ac:dyDescent="0.3">
      <c r="A70" s="4"/>
      <c r="B70" s="4"/>
      <c r="C70" s="4"/>
      <c r="D70" s="4"/>
      <c r="E70" s="4"/>
      <c r="F70" s="4"/>
      <c r="G70" s="5"/>
      <c r="H70"/>
    </row>
    <row r="71" spans="1:8" s="6" customFormat="1" x14ac:dyDescent="0.3">
      <c r="A71" s="4"/>
      <c r="B71" s="4"/>
      <c r="C71" s="4"/>
      <c r="D71" s="4"/>
      <c r="E71" s="4"/>
      <c r="F71" s="4"/>
      <c r="G71" s="5"/>
      <c r="H71"/>
    </row>
    <row r="72" spans="1:8" s="6" customFormat="1" x14ac:dyDescent="0.3">
      <c r="A72" s="4"/>
      <c r="B72" s="4"/>
      <c r="C72" s="4"/>
      <c r="D72" s="4"/>
      <c r="E72" s="4"/>
      <c r="F72" s="4"/>
      <c r="G72" s="5"/>
      <c r="H72"/>
    </row>
  </sheetData>
  <conditionalFormatting sqref="C53">
    <cfRule type="expression" dxfId="5" priority="11">
      <formula>ISEVEN(ROW())</formula>
    </cfRule>
  </conditionalFormatting>
  <conditionalFormatting sqref="H1 A1:G1048576">
    <cfRule type="expression" dxfId="4" priority="9">
      <formula>AND( ISODD(ROW()), ROW() &lt;&gt; 1 )</formula>
    </cfRule>
    <cfRule type="expression" dxfId="3" priority="10">
      <formula>ISEVEN(ROW())</formula>
    </cfRule>
  </conditionalFormatting>
  <conditionalFormatting sqref="D1:D1048576">
    <cfRule type="containsText" dxfId="2" priority="7" operator="containsText" text="NO">
      <formula>NOT(ISERROR(SEARCH("NO",D1)))</formula>
    </cfRule>
    <cfRule type="containsText" dxfId="1" priority="8" operator="containsText" text="YES">
      <formula>NOT(ISERROR(SEARCH("YES",D1)))</formula>
    </cfRule>
  </conditionalFormatting>
  <conditionalFormatting sqref="B1:B1048576">
    <cfRule type="expression" dxfId="0" priority="1">
      <formula>AND(ROW()&gt;1, $G1="", $D1="YES")</formula>
    </cfRule>
  </conditionalFormatting>
  <pageMargins left="0.7" right="0.7" top="0.75" bottom="0.75" header="0.3" footer="0.3"/>
  <pageSetup orientation="portrait" horizontalDpi="4294967293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15987-16CC-4945-B067-0AD1546AD792}">
  <dimension ref="A1:C9"/>
  <sheetViews>
    <sheetView workbookViewId="0">
      <selection activeCell="D1" sqref="D1:D1048576"/>
    </sheetView>
  </sheetViews>
  <sheetFormatPr defaultRowHeight="14.4" x14ac:dyDescent="0.3"/>
  <cols>
    <col min="1" max="1" width="22.33203125" customWidth="1"/>
    <col min="2" max="2" width="18" customWidth="1"/>
    <col min="3" max="3" width="13.6640625" customWidth="1"/>
  </cols>
  <sheetData>
    <row r="1" spans="1:3" x14ac:dyDescent="0.3">
      <c r="A1" s="16" t="s">
        <v>63</v>
      </c>
      <c r="B1" s="16"/>
      <c r="C1" s="16"/>
    </row>
    <row r="2" spans="1:3" x14ac:dyDescent="0.3">
      <c r="A2" t="s">
        <v>67</v>
      </c>
      <c r="B2">
        <f>COUNTA('Package Table and Charts'!A2:A1025) - B3</f>
        <v>47</v>
      </c>
    </row>
    <row r="3" spans="1:3" x14ac:dyDescent="0.3">
      <c r="A3" t="s">
        <v>66</v>
      </c>
      <c r="B3">
        <f>COUNTA('Package Table and Charts'!G2:G1025)</f>
        <v>5</v>
      </c>
    </row>
    <row r="5" spans="1:3" x14ac:dyDescent="0.3">
      <c r="A5" t="s">
        <v>64</v>
      </c>
      <c r="B5">
        <f>SUMIFS('Package Table and Charts'!E2:E1025, 'Package Table and Charts'!G2:G1025, "&lt;&gt;")</f>
        <v>4</v>
      </c>
      <c r="C5">
        <f>SUMIFS('Package Table and Charts'!F2:F1025, 'Package Table and Charts'!G2:G1025, "&lt;&gt;")</f>
        <v>10</v>
      </c>
    </row>
    <row r="6" spans="1:3" x14ac:dyDescent="0.3">
      <c r="A6" t="s">
        <v>65</v>
      </c>
      <c r="B6">
        <f>SUM('Package Table and Charts'!E2:E1025)-B5</f>
        <v>953</v>
      </c>
      <c r="C6">
        <f>SUM('Package Table and Charts'!F2:F1025)-C5</f>
        <v>5163</v>
      </c>
    </row>
    <row r="7" spans="1:3" x14ac:dyDescent="0.3">
      <c r="B7" t="s">
        <v>68</v>
      </c>
      <c r="C7" t="s">
        <v>69</v>
      </c>
    </row>
    <row r="8" spans="1:3" x14ac:dyDescent="0.3">
      <c r="A8" t="s">
        <v>64</v>
      </c>
      <c r="B8">
        <f>C5</f>
        <v>10</v>
      </c>
    </row>
    <row r="9" spans="1:3" x14ac:dyDescent="0.3">
      <c r="A9" t="s">
        <v>65</v>
      </c>
      <c r="B9">
        <f>C6</f>
        <v>5163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Package Table and Charts</vt:lpstr>
      <vt:lpstr>Charts Backend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Kotval, Scarlett</dc:creator>
  <cp:lastModifiedBy>Kotval, Scarlett</cp:lastModifiedBy>
  <dcterms:created xsi:type="dcterms:W3CDTF">2025-04-13T21:04:59Z</dcterms:created>
  <dcterms:modified xsi:type="dcterms:W3CDTF">2025-04-14T00:31:39Z</dcterms:modified>
</cp:coreProperties>
</file>